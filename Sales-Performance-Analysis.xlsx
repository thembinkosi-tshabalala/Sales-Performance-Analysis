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1940c593e260a/Documents/Portfolio/"/>
    </mc:Choice>
  </mc:AlternateContent>
  <xr:revisionPtr revIDLastSave="110" documentId="8_{B98F6EAA-23A0-47B6-B95D-59EF3D07E2A7}" xr6:coauthVersionLast="47" xr6:coauthVersionMax="47" xr10:uidLastSave="{4F94E6E4-DA2D-490A-86F3-2F847BC62F53}"/>
  <bookViews>
    <workbookView xWindow="-120" yWindow="-120" windowWidth="20730" windowHeight="11040" activeTab="1" xr2:uid="{C7AE6BFD-F71A-4F0A-B99A-B1B175EDF3DF}"/>
  </bookViews>
  <sheets>
    <sheet name="Sales Data" sheetId="1" r:id="rId1"/>
    <sheet name="Sales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2" l="1"/>
  <c r="B32" i="2"/>
  <c r="B31" i="2"/>
  <c r="C23" i="2"/>
  <c r="C24" i="2"/>
  <c r="C25" i="2"/>
  <c r="B23" i="2"/>
  <c r="B24" i="2"/>
  <c r="B25" i="2"/>
  <c r="C22" i="2"/>
  <c r="B22" i="2"/>
  <c r="C13" i="2"/>
  <c r="C14" i="2"/>
  <c r="C15" i="2"/>
  <c r="C16" i="2"/>
  <c r="B13" i="2"/>
  <c r="B14" i="2"/>
  <c r="B15" i="2"/>
  <c r="B16" i="2"/>
  <c r="C12" i="2"/>
  <c r="B12" i="2"/>
  <c r="B6" i="2"/>
  <c r="B5" i="2"/>
  <c r="B4" i="2"/>
  <c r="B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<sst xmlns="http://schemas.openxmlformats.org/spreadsheetml/2006/main" count="156" uniqueCount="63">
  <si>
    <t>Order ID</t>
  </si>
  <si>
    <t>Order DateRegion</t>
  </si>
  <si>
    <t>Region</t>
  </si>
  <si>
    <t>Salesperson</t>
  </si>
  <si>
    <t>Product</t>
  </si>
  <si>
    <t>Quantity</t>
  </si>
  <si>
    <t>Unit Price</t>
  </si>
  <si>
    <t>S001</t>
  </si>
  <si>
    <t>Gauteng</t>
  </si>
  <si>
    <t>Thabo</t>
  </si>
  <si>
    <t>Laptop</t>
  </si>
  <si>
    <t>S002</t>
  </si>
  <si>
    <t>Mpumalanga</t>
  </si>
  <si>
    <t>Lerato</t>
  </si>
  <si>
    <t>Printer</t>
  </si>
  <si>
    <t>S003</t>
  </si>
  <si>
    <t>Limpopo</t>
  </si>
  <si>
    <t>Kabelo</t>
  </si>
  <si>
    <t>Monitor</t>
  </si>
  <si>
    <t>S004</t>
  </si>
  <si>
    <t>Naledi</t>
  </si>
  <si>
    <t>Keyboard</t>
  </si>
  <si>
    <t>S005</t>
  </si>
  <si>
    <t>North West</t>
  </si>
  <si>
    <t>Mouse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</si>
  <si>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</si>
  <si>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</si>
  <si>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</si>
  <si>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</si>
  <si>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</si>
  <si>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</si>
  <si>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</si>
  <si>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</si>
  <si>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</si>
  <si>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</si>
  <si>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</si>
  <si>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</si>
  <si>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</si>
  <si>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</si>
  <si>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</si>
  <si>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</si>
  <si>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</si>
  <si>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</si>
  <si>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</si>
  <si>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</si>
  <si>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</si>
  <si>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</si>
  <si>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</si>
  <si>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</si>
  <si>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</si>
  <si>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Revenue</t>
  </si>
  <si>
    <t>Sales Performance Analysis</t>
  </si>
  <si>
    <t>Total sale</t>
  </si>
  <si>
    <t>Total Quantity</t>
  </si>
  <si>
    <t>Average sale</t>
  </si>
  <si>
    <t>Number of Orders</t>
  </si>
  <si>
    <t>Product Performance</t>
  </si>
  <si>
    <t>Total Sales</t>
  </si>
  <si>
    <t>Regional Performance</t>
  </si>
  <si>
    <t>Monthly Sales Trend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</si>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</sst>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</a:t>
            </a:r>
            <a:r>
              <a:rPr lang="en-ZA" baseline="0"/>
              <a:t> Sales Trend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77580927384075"/>
          <c:y val="0.21642591672819619"/>
          <c:w val="0.79255752405949254"/>
          <c:h val="0.64867539673314001"/>
        </c:manualLayout>
      </c:layout>
      <c:lineChart>
        <c:grouping val="stacked"/>
        <c:varyColors val="0"/>
        <c:ser>
          <c:idx val="0"/>
          <c:order val="0"/>
          <c:tx>
            <c:strRef>
              <c:f>'Sales Analysis'!$B$30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Analysis'!$A$31:$A$33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'Sales Analysis'!$B$31:$B$33</c:f>
              <c:numCache>
                <c:formatCode>_("R"* #,##0.00_);_("R"* \(#,##0.00\);_("R"* "-"??_);_(@_)</c:formatCode>
                <c:ptCount val="3"/>
                <c:pt idx="0">
                  <c:v>109650</c:v>
                </c:pt>
                <c:pt idx="1">
                  <c:v>134950</c:v>
                </c:pt>
                <c:pt idx="2">
                  <c:v>169050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F-4960-946B-FF90F1FA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955759"/>
        <c:axId val="1188110415"/>
      </c:lineChart>
      <c:catAx>
        <c:axId val="144895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10415"/>
        <c:crosses val="autoZero"/>
        <c:auto val="1"/>
        <c:lblAlgn val="ctr"/>
        <c:lblOffset val="100"/>
        <c:noMultiLvlLbl val="0"/>
      </c:catAx>
      <c:valAx>
        <c:axId val="11881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95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by Product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Analysis'!$C$11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Analysis'!$A$12:$A$16</c:f>
              <c:strCache>
                <c:ptCount val="5"/>
                <c:pt idx="0">
                  <c:v>Laptop</c:v>
                </c:pt>
                <c:pt idx="1">
                  <c:v>Printer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'Sales Analysis'!$C$12:$C$16</c:f>
              <c:numCache>
                <c:formatCode>_("R"* #,##0.00_);_("R"* \(#,##0.00\);_("R"* "-"??_);_(@_)</c:formatCode>
                <c:ptCount val="5"/>
                <c:pt idx="0">
                  <c:v>93500</c:v>
                </c:pt>
                <c:pt idx="1">
                  <c:v>138600</c:v>
                </c:pt>
                <c:pt idx="2">
                  <c:v>91200</c:v>
                </c:pt>
                <c:pt idx="3">
                  <c:v>44850</c:v>
                </c:pt>
                <c:pt idx="4">
                  <c:v>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1-4D7E-A8B3-D046F389F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758735"/>
        <c:axId val="1188151215"/>
      </c:barChart>
      <c:catAx>
        <c:axId val="90675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51215"/>
        <c:crosses val="autoZero"/>
        <c:auto val="1"/>
        <c:lblAlgn val="ctr"/>
        <c:lblOffset val="100"/>
        <c:noMultiLvlLbl val="0"/>
      </c:catAx>
      <c:valAx>
        <c:axId val="118815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75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Analysis'!$C$21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Analysis'!$A$22:$A$25</c:f>
              <c:strCache>
                <c:ptCount val="4"/>
                <c:pt idx="0">
                  <c:v>Gauteng</c:v>
                </c:pt>
                <c:pt idx="1">
                  <c:v>Mpumalanga</c:v>
                </c:pt>
                <c:pt idx="2">
                  <c:v>Limpopo</c:v>
                </c:pt>
                <c:pt idx="3">
                  <c:v>North West</c:v>
                </c:pt>
              </c:strCache>
            </c:strRef>
          </c:cat>
          <c:val>
            <c:numRef>
              <c:f>'Sales Analysis'!$C$22:$C$25</c:f>
              <c:numCache>
                <c:formatCode>_("R"* #,##0.00_);_("R"* \(#,##0.00\);_("R"* "-"??_);_(@_)</c:formatCode>
                <c:ptCount val="4"/>
                <c:pt idx="0">
                  <c:v>189750</c:v>
                </c:pt>
                <c:pt idx="1">
                  <c:v>89100</c:v>
                </c:pt>
                <c:pt idx="2">
                  <c:v>91200</c:v>
                </c:pt>
                <c:pt idx="3">
                  <c:v>43600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E-4A4A-8E8B-16112C54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702431"/>
        <c:axId val="1188124335"/>
      </c:barChart>
      <c:catAx>
        <c:axId val="14477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24335"/>
        <c:crosses val="autoZero"/>
        <c:auto val="1"/>
        <c:lblAlgn val="ctr"/>
        <c:lblOffset val="100"/>
        <c:noMultiLvlLbl val="0"/>
      </c:catAx>
      <c:valAx>
        <c:axId val="11881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7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23812</xdr:rowOff>
    </xdr:from>
    <xdr:to>
      <xdr:col>11</xdr:col>
      <xdr:colOff>342900</xdr:colOff>
      <xdr:row>12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04058-A77B-CD54-A373-5CC39863E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14</xdr:row>
      <xdr:rowOff>14287</xdr:rowOff>
    </xdr:from>
    <xdr:to>
      <xdr:col>11</xdr:col>
      <xdr:colOff>314325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064D5F-9856-C732-4FDA-FACEBB086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28</xdr:row>
      <xdr:rowOff>61912</xdr:rowOff>
    </xdr:from>
    <xdr:to>
      <xdr:col>11</xdr:col>
      <xdr:colOff>304800</xdr:colOff>
      <xdr:row>42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1A0945-B633-0BD4-502C-D4DFF0838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03A37-5697-4933-A3AC-EE876E5C27FB}" name="Table1" displayName="Table1" ref="A1:H31" totalsRowShown="0">
  <autoFilter ref="A1:H31" xr:uid="{66003A37-5697-4933-A3AC-EE876E5C27FB}"/>
  <tableColumns count="8">
    <tableColumn id="1" xr3:uid="{2AB2747D-F66F-411F-85B6-384749732058}" name="Order ID"/>
    <tableColumn id="2" xr3:uid="{06BA842A-1EED-4E5F-830C-A20D16E062A7}" name="Order DateRegion" dataDxfId="0"/>
    <tableColumn id="3" xr3:uid="{CC08FCB0-54B4-47D2-A29A-5366F455844B}" name="Region"/>
    <tableColumn id="4" xr3:uid="{3F846A8A-AC94-4779-A61A-53386636EB7C}" name="Salesperson"/>
    <tableColumn id="5" xr3:uid="{CADDB14E-E15C-429D-8D77-486017001BDA}" name="Product"/>
    <tableColumn id="6" xr3:uid="{2F8AA875-6722-40D2-9DD6-A23E43FA3801}" name="Quantity"/>
    <tableColumn id="7" xr3:uid="{536F705C-CEB3-4AD3-A947-EB6422A71BFD}" name="Unit Price"/>
    <tableColumn id="8" xr3:uid="{6581BAEF-C29A-48AE-80E1-027E412011FC}" name="Revenue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72C3-81D4-4178-943A-4A6DD04614E2}">
  <dimension ref="A1:H31"/>
  <sheetViews>
    <sheetView topLeftCell="A22" workbookViewId="0">
      <selection activeCell="I33" sqref="I33"/>
    </sheetView>
  </sheetViews>
  <sheetFormatPr defaultRowHeight="15" x14ac:dyDescent="0.25"/>
  <cols>
    <col min="1" max="1" width="10.7109375" customWidth="1"/>
    <col min="2" max="2" width="19.28515625" customWidth="1"/>
    <col min="3" max="3" width="9.42578125" customWidth="1"/>
    <col min="4" max="4" width="14.28515625" customWidth="1"/>
    <col min="5" max="5" width="10.140625" customWidth="1"/>
    <col min="6" max="6" width="10.85546875" customWidth="1"/>
    <col min="7" max="7" width="11.85546875" customWidth="1"/>
    <col min="8" max="8" width="1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</v>
      </c>
    </row>
    <row r="2" spans="1:8" x14ac:dyDescent="0.25">
      <c r="A2" t="s">
        <v>7</v>
      </c>
      <c r="B2" s="1">
        <v>46027</v>
      </c>
      <c r="C2" t="s">
        <v>8</v>
      </c>
      <c r="D2" t="s">
        <v>9</v>
      </c>
      <c r="E2" t="s">
        <v>10</v>
      </c>
      <c r="F2">
        <v>2</v>
      </c>
      <c r="G2">
        <v>8500</v>
      </c>
      <c r="H2">
        <f>F2*G2</f>
        <v>17000</v>
      </c>
    </row>
    <row r="3" spans="1:8" x14ac:dyDescent="0.25">
      <c r="A3" t="s">
        <v>11</v>
      </c>
      <c r="B3" s="1">
        <v>46029</v>
      </c>
      <c r="C3" t="s">
        <v>12</v>
      </c>
      <c r="D3" t="s">
        <v>13</v>
      </c>
      <c r="E3" t="s">
        <v>14</v>
      </c>
      <c r="F3">
        <v>3</v>
      </c>
      <c r="G3">
        <v>4200</v>
      </c>
      <c r="H3">
        <f t="shared" ref="H3:H31" si="0">F3*G3</f>
        <v>12600</v>
      </c>
    </row>
    <row r="4" spans="1:8" x14ac:dyDescent="0.25">
      <c r="A4" t="s">
        <v>15</v>
      </c>
      <c r="B4" s="1">
        <v>46032</v>
      </c>
      <c r="C4" t="s">
        <v>16</v>
      </c>
      <c r="D4" t="s">
        <v>17</v>
      </c>
      <c r="E4" t="s">
        <v>18</v>
      </c>
      <c r="F4">
        <v>4</v>
      </c>
      <c r="G4">
        <v>3800</v>
      </c>
      <c r="H4">
        <f t="shared" si="0"/>
        <v>15200</v>
      </c>
    </row>
    <row r="5" spans="1:8" x14ac:dyDescent="0.25">
      <c r="A5" t="s">
        <v>19</v>
      </c>
      <c r="B5" s="1">
        <v>46034</v>
      </c>
      <c r="C5" t="s">
        <v>8</v>
      </c>
      <c r="D5" t="s">
        <v>20</v>
      </c>
      <c r="E5" t="s">
        <v>21</v>
      </c>
      <c r="F5">
        <v>10</v>
      </c>
      <c r="G5">
        <v>650</v>
      </c>
      <c r="H5">
        <f t="shared" si="0"/>
        <v>6500</v>
      </c>
    </row>
    <row r="6" spans="1:8" x14ac:dyDescent="0.25">
      <c r="A6" t="s">
        <v>22</v>
      </c>
      <c r="B6" s="1">
        <v>46037</v>
      </c>
      <c r="C6" t="s">
        <v>23</v>
      </c>
      <c r="D6" t="s">
        <v>9</v>
      </c>
      <c r="E6" t="s">
        <v>24</v>
      </c>
      <c r="F6">
        <v>15</v>
      </c>
      <c r="G6">
        <v>350</v>
      </c>
      <c r="H6">
        <f t="shared" si="0"/>
        <v>5250</v>
      </c>
    </row>
    <row r="7" spans="1:8" x14ac:dyDescent="0.25">
      <c r="A7" t="s">
        <v>25</v>
      </c>
      <c r="B7" s="1">
        <v>46040</v>
      </c>
      <c r="C7" t="s">
        <v>12</v>
      </c>
      <c r="D7" t="s">
        <v>13</v>
      </c>
      <c r="E7" t="s">
        <v>10</v>
      </c>
      <c r="F7">
        <v>1</v>
      </c>
      <c r="G7">
        <v>8500</v>
      </c>
      <c r="H7">
        <f t="shared" si="0"/>
        <v>8500</v>
      </c>
    </row>
    <row r="8" spans="1:8" x14ac:dyDescent="0.25">
      <c r="A8" t="s">
        <v>26</v>
      </c>
      <c r="B8" s="1">
        <v>46043</v>
      </c>
      <c r="C8" t="s">
        <v>8</v>
      </c>
      <c r="D8" t="s">
        <v>17</v>
      </c>
      <c r="E8" t="s">
        <v>14</v>
      </c>
      <c r="F8">
        <v>5</v>
      </c>
      <c r="G8">
        <v>4200</v>
      </c>
      <c r="H8">
        <f t="shared" si="0"/>
        <v>21000</v>
      </c>
    </row>
    <row r="9" spans="1:8" x14ac:dyDescent="0.25">
      <c r="A9" t="s">
        <v>27</v>
      </c>
      <c r="B9" s="1">
        <v>46046</v>
      </c>
      <c r="C9" t="s">
        <v>16</v>
      </c>
      <c r="D9" t="s">
        <v>20</v>
      </c>
      <c r="E9" t="s">
        <v>18</v>
      </c>
      <c r="F9">
        <v>3</v>
      </c>
      <c r="G9">
        <v>3800</v>
      </c>
      <c r="H9">
        <f t="shared" si="0"/>
        <v>11400</v>
      </c>
    </row>
    <row r="10" spans="1:8" x14ac:dyDescent="0.25">
      <c r="A10" t="s">
        <v>28</v>
      </c>
      <c r="B10" s="1">
        <v>46049</v>
      </c>
      <c r="C10" t="s">
        <v>23</v>
      </c>
      <c r="D10" t="s">
        <v>9</v>
      </c>
      <c r="E10" t="s">
        <v>21</v>
      </c>
      <c r="F10">
        <v>8</v>
      </c>
      <c r="G10">
        <v>650</v>
      </c>
      <c r="H10">
        <f t="shared" si="0"/>
        <v>5200</v>
      </c>
    </row>
    <row r="11" spans="1:8" x14ac:dyDescent="0.25">
      <c r="A11" t="s">
        <v>29</v>
      </c>
      <c r="B11" s="1">
        <v>46052</v>
      </c>
      <c r="C11" t="s">
        <v>8</v>
      </c>
      <c r="D11" t="s">
        <v>13</v>
      </c>
      <c r="E11" t="s">
        <v>24</v>
      </c>
      <c r="F11">
        <v>20</v>
      </c>
      <c r="G11">
        <v>350</v>
      </c>
      <c r="H11">
        <f t="shared" si="0"/>
        <v>7000</v>
      </c>
    </row>
    <row r="12" spans="1:8" x14ac:dyDescent="0.25">
      <c r="A12" t="s">
        <v>30</v>
      </c>
      <c r="B12" s="1">
        <v>46056</v>
      </c>
      <c r="C12" t="s">
        <v>12</v>
      </c>
      <c r="D12" t="s">
        <v>17</v>
      </c>
      <c r="E12" t="s">
        <v>10</v>
      </c>
      <c r="F12">
        <v>2</v>
      </c>
      <c r="G12">
        <v>8500</v>
      </c>
      <c r="H12">
        <f t="shared" si="0"/>
        <v>17000</v>
      </c>
    </row>
    <row r="13" spans="1:8" x14ac:dyDescent="0.25">
      <c r="A13" t="s">
        <v>31</v>
      </c>
      <c r="B13" s="1">
        <v>46059</v>
      </c>
      <c r="C13" t="s">
        <v>8</v>
      </c>
      <c r="D13" t="s">
        <v>20</v>
      </c>
      <c r="E13" t="s">
        <v>14</v>
      </c>
      <c r="F13">
        <v>4</v>
      </c>
      <c r="G13">
        <v>4200</v>
      </c>
      <c r="H13">
        <f t="shared" si="0"/>
        <v>16800</v>
      </c>
    </row>
    <row r="14" spans="1:8" x14ac:dyDescent="0.25">
      <c r="A14" t="s">
        <v>32</v>
      </c>
      <c r="B14" s="1">
        <v>46062</v>
      </c>
      <c r="C14" t="s">
        <v>16</v>
      </c>
      <c r="D14" t="s">
        <v>9</v>
      </c>
      <c r="E14" t="s">
        <v>18</v>
      </c>
      <c r="F14">
        <v>5</v>
      </c>
      <c r="G14">
        <v>3800</v>
      </c>
      <c r="H14">
        <f t="shared" si="0"/>
        <v>19000</v>
      </c>
    </row>
    <row r="15" spans="1:8" x14ac:dyDescent="0.25">
      <c r="A15" t="s">
        <v>33</v>
      </c>
      <c r="B15" s="1">
        <v>46065</v>
      </c>
      <c r="C15" t="s">
        <v>23</v>
      </c>
      <c r="D15" t="s">
        <v>13</v>
      </c>
      <c r="E15" t="s">
        <v>21</v>
      </c>
      <c r="F15">
        <v>12</v>
      </c>
      <c r="G15">
        <v>650</v>
      </c>
      <c r="H15">
        <f t="shared" si="0"/>
        <v>7800</v>
      </c>
    </row>
    <row r="16" spans="1:8" x14ac:dyDescent="0.25">
      <c r="A16" t="s">
        <v>34</v>
      </c>
      <c r="B16" s="1">
        <v>46068</v>
      </c>
      <c r="C16" t="s">
        <v>8</v>
      </c>
      <c r="D16" t="s">
        <v>17</v>
      </c>
      <c r="E16" t="s">
        <v>24</v>
      </c>
      <c r="F16">
        <v>18</v>
      </c>
      <c r="G16">
        <v>350</v>
      </c>
      <c r="H16">
        <f t="shared" si="0"/>
        <v>6300</v>
      </c>
    </row>
    <row r="17" spans="1:8" x14ac:dyDescent="0.25">
      <c r="A17" t="s">
        <v>35</v>
      </c>
      <c r="B17" s="1">
        <v>46071</v>
      </c>
      <c r="C17" t="s">
        <v>12</v>
      </c>
      <c r="D17" t="s">
        <v>20</v>
      </c>
      <c r="E17" t="s">
        <v>10</v>
      </c>
      <c r="F17">
        <v>3</v>
      </c>
      <c r="G17">
        <v>8500</v>
      </c>
      <c r="H17">
        <f t="shared" si="0"/>
        <v>25500</v>
      </c>
    </row>
    <row r="18" spans="1:8" x14ac:dyDescent="0.25">
      <c r="A18" t="s">
        <v>36</v>
      </c>
      <c r="B18" s="1">
        <v>46074</v>
      </c>
      <c r="C18" t="s">
        <v>8</v>
      </c>
      <c r="D18" t="s">
        <v>9</v>
      </c>
      <c r="E18" t="s">
        <v>14</v>
      </c>
      <c r="F18">
        <v>6</v>
      </c>
      <c r="G18">
        <v>4200</v>
      </c>
      <c r="H18">
        <f t="shared" si="0"/>
        <v>25200</v>
      </c>
    </row>
    <row r="19" spans="1:8" x14ac:dyDescent="0.25">
      <c r="A19" t="s">
        <v>37</v>
      </c>
      <c r="B19" s="1">
        <v>46077</v>
      </c>
      <c r="C19" t="s">
        <v>16</v>
      </c>
      <c r="D19" t="s">
        <v>13</v>
      </c>
      <c r="E19" t="s">
        <v>18</v>
      </c>
      <c r="F19">
        <v>2</v>
      </c>
      <c r="G19">
        <v>3800</v>
      </c>
      <c r="H19">
        <f t="shared" si="0"/>
        <v>7600</v>
      </c>
    </row>
    <row r="20" spans="1:8" x14ac:dyDescent="0.25">
      <c r="A20" t="s">
        <v>38</v>
      </c>
      <c r="B20" s="1">
        <v>46080</v>
      </c>
      <c r="C20" t="s">
        <v>23</v>
      </c>
      <c r="D20" t="s">
        <v>17</v>
      </c>
      <c r="E20" t="s">
        <v>21</v>
      </c>
      <c r="F20">
        <v>15</v>
      </c>
      <c r="G20">
        <v>650</v>
      </c>
      <c r="H20">
        <f t="shared" si="0"/>
        <v>9750</v>
      </c>
    </row>
    <row r="21" spans="1:8" x14ac:dyDescent="0.25">
      <c r="A21" t="s">
        <v>39</v>
      </c>
      <c r="B21" s="1">
        <v>46083</v>
      </c>
      <c r="C21" t="s">
        <v>8</v>
      </c>
      <c r="D21" t="s">
        <v>20</v>
      </c>
      <c r="E21" t="s">
        <v>24</v>
      </c>
      <c r="F21">
        <v>25</v>
      </c>
      <c r="G21">
        <v>350</v>
      </c>
      <c r="H21">
        <f t="shared" si="0"/>
        <v>8750</v>
      </c>
    </row>
    <row r="22" spans="1:8" x14ac:dyDescent="0.25">
      <c r="A22" t="s">
        <v>40</v>
      </c>
      <c r="B22" s="1">
        <v>46086</v>
      </c>
      <c r="C22" t="s">
        <v>12</v>
      </c>
      <c r="D22" t="s">
        <v>9</v>
      </c>
      <c r="E22" t="s">
        <v>10</v>
      </c>
      <c r="F22">
        <v>2</v>
      </c>
      <c r="G22">
        <v>8500</v>
      </c>
      <c r="H22">
        <f t="shared" si="0"/>
        <v>17000</v>
      </c>
    </row>
    <row r="23" spans="1:8" x14ac:dyDescent="0.25">
      <c r="A23" t="s">
        <v>41</v>
      </c>
      <c r="B23" s="1">
        <v>46089</v>
      </c>
      <c r="C23" t="s">
        <v>8</v>
      </c>
      <c r="D23" t="s">
        <v>13</v>
      </c>
      <c r="E23" t="s">
        <v>14</v>
      </c>
      <c r="F23">
        <v>7</v>
      </c>
      <c r="G23">
        <v>4200</v>
      </c>
      <c r="H23">
        <f t="shared" si="0"/>
        <v>29400</v>
      </c>
    </row>
    <row r="24" spans="1:8" x14ac:dyDescent="0.25">
      <c r="A24" t="s">
        <v>42</v>
      </c>
      <c r="B24" s="1">
        <v>46092</v>
      </c>
      <c r="C24" t="s">
        <v>16</v>
      </c>
      <c r="D24" t="s">
        <v>17</v>
      </c>
      <c r="E24" t="s">
        <v>18</v>
      </c>
      <c r="F24">
        <v>4</v>
      </c>
      <c r="G24">
        <v>3800</v>
      </c>
      <c r="H24">
        <f t="shared" si="0"/>
        <v>15200</v>
      </c>
    </row>
    <row r="25" spans="1:8" x14ac:dyDescent="0.25">
      <c r="A25" t="s">
        <v>43</v>
      </c>
      <c r="B25" s="1">
        <v>46095</v>
      </c>
      <c r="C25" t="s">
        <v>23</v>
      </c>
      <c r="D25" t="s">
        <v>20</v>
      </c>
      <c r="E25" t="s">
        <v>21</v>
      </c>
      <c r="F25">
        <v>10</v>
      </c>
      <c r="G25">
        <v>650</v>
      </c>
      <c r="H25">
        <f t="shared" si="0"/>
        <v>6500</v>
      </c>
    </row>
    <row r="26" spans="1:8" x14ac:dyDescent="0.25">
      <c r="A26" t="s">
        <v>44</v>
      </c>
      <c r="B26" s="1">
        <v>46098</v>
      </c>
      <c r="C26" t="s">
        <v>8</v>
      </c>
      <c r="D26" t="s">
        <v>9</v>
      </c>
      <c r="E26" t="s">
        <v>24</v>
      </c>
      <c r="F26">
        <v>22</v>
      </c>
      <c r="G26">
        <v>350</v>
      </c>
      <c r="H26">
        <f t="shared" si="0"/>
        <v>7700</v>
      </c>
    </row>
    <row r="27" spans="1:8" x14ac:dyDescent="0.25">
      <c r="A27" t="s">
        <v>45</v>
      </c>
      <c r="B27" s="1">
        <v>46101</v>
      </c>
      <c r="C27" t="s">
        <v>12</v>
      </c>
      <c r="D27" t="s">
        <v>13</v>
      </c>
      <c r="E27" t="s">
        <v>10</v>
      </c>
      <c r="F27">
        <v>1</v>
      </c>
      <c r="G27">
        <v>8500</v>
      </c>
      <c r="H27">
        <f t="shared" si="0"/>
        <v>8500</v>
      </c>
    </row>
    <row r="28" spans="1:8" x14ac:dyDescent="0.25">
      <c r="A28" t="s">
        <v>46</v>
      </c>
      <c r="B28" s="1">
        <v>46104</v>
      </c>
      <c r="C28" t="s">
        <v>8</v>
      </c>
      <c r="D28" t="s">
        <v>17</v>
      </c>
      <c r="E28" t="s">
        <v>14</v>
      </c>
      <c r="F28">
        <v>8</v>
      </c>
      <c r="G28">
        <v>4200</v>
      </c>
      <c r="H28">
        <f t="shared" si="0"/>
        <v>33600</v>
      </c>
    </row>
    <row r="29" spans="1:8" x14ac:dyDescent="0.25">
      <c r="A29" t="s">
        <v>47</v>
      </c>
      <c r="B29" s="1">
        <v>46107</v>
      </c>
      <c r="C29" t="s">
        <v>16</v>
      </c>
      <c r="D29" t="s">
        <v>20</v>
      </c>
      <c r="E29" t="s">
        <v>18</v>
      </c>
      <c r="F29">
        <v>6</v>
      </c>
      <c r="G29">
        <v>3800</v>
      </c>
      <c r="H29">
        <f t="shared" si="0"/>
        <v>22800</v>
      </c>
    </row>
    <row r="30" spans="1:8" x14ac:dyDescent="0.25">
      <c r="A30" t="s">
        <v>48</v>
      </c>
      <c r="B30" s="1">
        <v>46109</v>
      </c>
      <c r="C30" t="s">
        <v>23</v>
      </c>
      <c r="D30" t="s">
        <v>9</v>
      </c>
      <c r="E30" t="s">
        <v>21</v>
      </c>
      <c r="F30">
        <v>14</v>
      </c>
      <c r="G30">
        <v>650</v>
      </c>
      <c r="H30">
        <f t="shared" si="0"/>
        <v>9100</v>
      </c>
    </row>
    <row r="31" spans="1:8" x14ac:dyDescent="0.25">
      <c r="A31" t="s">
        <v>49</v>
      </c>
      <c r="B31" s="1">
        <v>46111</v>
      </c>
      <c r="C31" t="s">
        <v>8</v>
      </c>
      <c r="D31" t="s">
        <v>13</v>
      </c>
      <c r="E31" t="s">
        <v>24</v>
      </c>
      <c r="F31">
        <v>30</v>
      </c>
      <c r="G31">
        <v>350</v>
      </c>
      <c r="H31">
        <f t="shared" si="0"/>
        <v>10500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D527-89B1-40E0-9AF1-6A4BF3D4ED1A}">
  <dimension ref="A1:C33"/>
  <sheetViews>
    <sheetView tabSelected="1" workbookViewId="0">
      <selection activeCell="A3" sqref="A3:A6"/>
    </sheetView>
  </sheetViews>
  <sheetFormatPr defaultRowHeight="15" x14ac:dyDescent="0.25"/>
  <cols>
    <col min="1" max="1" width="25.85546875" bestFit="1" customWidth="1"/>
    <col min="2" max="2" width="13.42578125" bestFit="1" customWidth="1"/>
    <col min="3" max="3" width="12.5703125" bestFit="1" customWidth="1"/>
  </cols>
  <sheetData>
    <row r="1" spans="1:3" ht="24" x14ac:dyDescent="0.4">
      <c r="A1" s="2" t="s">
        <v>51</v>
      </c>
      <c r="B1" s="2"/>
      <c r="C1" s="2"/>
    </row>
    <row r="3" spans="1:3" x14ac:dyDescent="0.25">
      <c r="A3" s="4" t="s">
        <v>52</v>
      </c>
      <c r="B3" s="6">
        <f>SUM(Table1[Revenue])</f>
        <v>413650</v>
      </c>
    </row>
    <row r="4" spans="1:3" x14ac:dyDescent="0.25">
      <c r="A4" s="4" t="s">
        <v>53</v>
      </c>
      <c r="B4" s="6">
        <f>+SUM(Table1[Quantity])</f>
        <v>267</v>
      </c>
    </row>
    <row r="5" spans="1:3" x14ac:dyDescent="0.25">
      <c r="A5" s="4" t="s">
        <v>54</v>
      </c>
      <c r="B5" s="6">
        <f>AVERAGE(Table1[Revenue])</f>
        <v>13788.333333333334</v>
      </c>
    </row>
    <row r="6" spans="1:3" x14ac:dyDescent="0.25">
      <c r="A6" s="4" t="s">
        <v>55</v>
      </c>
      <c r="B6" s="6">
        <f>COUNTA(Table1[Order ID])</f>
        <v>30</v>
      </c>
    </row>
    <row r="9" spans="1:3" x14ac:dyDescent="0.25">
      <c r="A9" s="3" t="s">
        <v>56</v>
      </c>
    </row>
    <row r="11" spans="1:3" x14ac:dyDescent="0.25">
      <c r="A11" s="4" t="s">
        <v>4</v>
      </c>
      <c r="B11" s="4" t="s">
        <v>53</v>
      </c>
      <c r="C11" s="4" t="s">
        <v>57</v>
      </c>
    </row>
    <row r="12" spans="1:3" x14ac:dyDescent="0.25">
      <c r="A12" s="5" t="s">
        <v>10</v>
      </c>
      <c r="B12" s="5">
        <f>SUMIF('Sales Data'!E$2:E$31,A12,'Sales Data'!F$2:F$31)</f>
        <v>11</v>
      </c>
      <c r="C12" s="6">
        <f>SUMIF('Sales Data'!E$2:E$31,A12,'Sales Data'!H$2:H$31)</f>
        <v>93500</v>
      </c>
    </row>
    <row r="13" spans="1:3" x14ac:dyDescent="0.25">
      <c r="A13" s="5" t="s">
        <v>14</v>
      </c>
      <c r="B13" s="5">
        <f>SUMIF('Sales Data'!E$2:E$31,A13,'Sales Data'!F$2:F$31)</f>
        <v>33</v>
      </c>
      <c r="C13" s="6">
        <f>SUMIF('Sales Data'!E$2:E$31,A13,'Sales Data'!H$2:H$31)</f>
        <v>138600</v>
      </c>
    </row>
    <row r="14" spans="1:3" x14ac:dyDescent="0.25">
      <c r="A14" s="5" t="s">
        <v>18</v>
      </c>
      <c r="B14" s="5">
        <f>SUMIF('Sales Data'!E$2:E$31,A14,'Sales Data'!F$2:F$31)</f>
        <v>24</v>
      </c>
      <c r="C14" s="6">
        <f>SUMIF('Sales Data'!E$2:E$31,A14,'Sales Data'!H$2:H$31)</f>
        <v>91200</v>
      </c>
    </row>
    <row r="15" spans="1:3" x14ac:dyDescent="0.25">
      <c r="A15" s="5" t="s">
        <v>21</v>
      </c>
      <c r="B15" s="5">
        <f>SUMIF('Sales Data'!E$2:E$31,A15,'Sales Data'!F$2:F$31)</f>
        <v>69</v>
      </c>
      <c r="C15" s="6">
        <f>SUMIF('Sales Data'!E$2:E$31,A15,'Sales Data'!H$2:H$31)</f>
        <v>44850</v>
      </c>
    </row>
    <row r="16" spans="1:3" x14ac:dyDescent="0.25">
      <c r="A16" s="5" t="s">
        <v>24</v>
      </c>
      <c r="B16" s="5">
        <f>SUMIF('Sales Data'!E$2:E$31,A16,'Sales Data'!F$2:F$31)</f>
        <v>130</v>
      </c>
      <c r="C16" s="6">
        <f>SUMIF('Sales Data'!E$2:E$31,A16,'Sales Data'!H$2:H$31)</f>
        <v>45500</v>
      </c>
    </row>
    <row r="19" spans="1:3" x14ac:dyDescent="0.25">
      <c r="A19" s="3" t="s">
        <v>58</v>
      </c>
    </row>
    <row r="21" spans="1:3" x14ac:dyDescent="0.25">
      <c r="A21" s="4" t="s">
        <v>2</v>
      </c>
      <c r="B21" s="4" t="s">
        <v>53</v>
      </c>
      <c r="C21" s="4" t="s">
        <v>57</v>
      </c>
    </row>
    <row r="22" spans="1:3" x14ac:dyDescent="0.25">
      <c r="A22" s="5" t="s">
        <v>8</v>
      </c>
      <c r="B22" s="5">
        <f>SUMIF('Sales Data'!C$2:C$31,A22,'Sales Data'!F$2:F$31)</f>
        <v>157</v>
      </c>
      <c r="C22" s="6">
        <f>SUMIF('Sales Data'!C$2:C$31,A22,'Sales Data'!H$2:H$31)</f>
        <v>189750</v>
      </c>
    </row>
    <row r="23" spans="1:3" x14ac:dyDescent="0.25">
      <c r="A23" s="5" t="s">
        <v>12</v>
      </c>
      <c r="B23" s="5">
        <f>SUMIF('Sales Data'!C$2:C$31,A23,'Sales Data'!F$2:F$31)</f>
        <v>12</v>
      </c>
      <c r="C23" s="6">
        <f>SUMIF('Sales Data'!C$2:C$31,A23,'Sales Data'!H$2:H$31)</f>
        <v>89100</v>
      </c>
    </row>
    <row r="24" spans="1:3" x14ac:dyDescent="0.25">
      <c r="A24" s="5" t="s">
        <v>16</v>
      </c>
      <c r="B24" s="5">
        <f>SUMIF('Sales Data'!C$2:C$31,A24,'Sales Data'!F$2:F$31)</f>
        <v>24</v>
      </c>
      <c r="C24" s="6">
        <f>SUMIF('Sales Data'!C$2:C$31,A24,'Sales Data'!H$2:H$31)</f>
        <v>91200</v>
      </c>
    </row>
    <row r="25" spans="1:3" x14ac:dyDescent="0.25">
      <c r="A25" s="5" t="s">
        <v>23</v>
      </c>
      <c r="B25" s="5">
        <f>SUMIF('Sales Data'!C$2:C$31,A25,'Sales Data'!F$2:F$31)</f>
        <v>74</v>
      </c>
      <c r="C25" s="6">
        <f>SUMIF('Sales Data'!C$2:C$31,A25,'Sales Data'!H$2:H$31)</f>
        <v>43600</v>
      </c>
    </row>
    <row r="28" spans="1:3" x14ac:dyDescent="0.25">
      <c r="A28" s="3" t="s">
        <v>59</v>
      </c>
    </row>
    <row r="30" spans="1:3" x14ac:dyDescent="0.25">
      <c r="A30" s="4" t="s">
        <v>59</v>
      </c>
      <c r="B30" s="4" t="s">
        <v>57</v>
      </c>
    </row>
    <row r="31" spans="1:3" x14ac:dyDescent="0.25">
      <c r="A31" s="5" t="s">
        <v>60</v>
      </c>
      <c r="B31" s="6">
        <f>SUMIFS('Sales Data'!H$2:H$31,'Sales Data'!B$2:B$31,"&gt;="&amp;DATE(2026,1,1),'Sales Data'!B$2:B$31,"&lt;"&amp;DATE(2026,2,1))</f>
        <v>109650</v>
      </c>
    </row>
    <row r="32" spans="1:3" x14ac:dyDescent="0.25">
      <c r="A32" s="5" t="s">
        <v>61</v>
      </c>
      <c r="B32" s="6">
        <f>SUMIFS('Sales Data'!H$2:H$31,'Sales Data'!B$2:B$31,"&gt;="&amp;DATE(2026,2,1),'Sales Data'!B$2:B$31,"&lt;"&amp;DATE(2026,3,1))</f>
        <v>134950</v>
      </c>
    </row>
    <row r="33" spans="1:2" x14ac:dyDescent="0.25">
      <c r="A33" s="5" t="s">
        <v>62</v>
      </c>
      <c r="B33" s="6">
        <f>SUMIFS('Sales Data'!H$2:H$31,'Sales Data'!B$2:B$31,"&gt;="&amp;DATE(2026,3,1),'Sales Data'!B$2:B$31,"&lt;"&amp;DATE(2026,4,1))</f>
        <v>169050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Thembinkosi Tshabalala</dc:creator>
  <cp:lastModifiedBy>Thembinkosi Tshabalala</cp:lastModifiedBy>
  <dcterms:created xsi:type="dcterms:W3CDTF">2026-09-28T21:17:29Z</dcterms:created>
  <dcterms:modified xsi:type="dcterms:W3CDTF">2026-09-28T22:14:32Z</dcterms:modified>
</cp:coreProperties>
</file>